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o/github/MHACapstone/docs/assets/"/>
    </mc:Choice>
  </mc:AlternateContent>
  <xr:revisionPtr revIDLastSave="0" documentId="13_ncr:1_{310E1374-9CF1-C644-9916-56C39C834AC4}" xr6:coauthVersionLast="47" xr6:coauthVersionMax="47" xr10:uidLastSave="{00000000-0000-0000-0000-000000000000}"/>
  <bookViews>
    <workbookView xWindow="1500" yWindow="1320" windowWidth="23060" windowHeight="27480" activeTab="1" xr2:uid="{34E8316F-5B6C-9145-A101-9DD4FD271A57}"/>
  </bookViews>
  <sheets>
    <sheet name="Sheet1" sheetId="1" r:id="rId1"/>
    <sheet name="Sheet2" sheetId="2" r:id="rId2"/>
  </sheets>
  <externalReferences>
    <externalReference r:id="rId3"/>
  </externalReference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27" i="2" s="1"/>
  <c r="D26" i="2"/>
  <c r="D27" i="2" s="1"/>
  <c r="C26" i="2"/>
  <c r="C27" i="2" s="1"/>
  <c r="E13" i="2"/>
  <c r="E14" i="2" s="1"/>
  <c r="D13" i="2"/>
  <c r="D30" i="2" s="1"/>
  <c r="C13" i="2"/>
  <c r="C14" i="2" s="1"/>
  <c r="E3" i="2"/>
  <c r="D3" i="2"/>
  <c r="C3" i="2"/>
  <c r="E2" i="2"/>
  <c r="D2" i="2"/>
  <c r="C2" i="2"/>
  <c r="D14" i="2" l="1"/>
  <c r="E30" i="2"/>
  <c r="C30" i="2"/>
  <c r="C31" i="2" s="1"/>
</calcChain>
</file>

<file path=xl/sharedStrings.xml><?xml version="1.0" encoding="utf-8"?>
<sst xmlns="http://schemas.openxmlformats.org/spreadsheetml/2006/main" count="77" uniqueCount="50">
  <si>
    <t>Part 1 - Written Report (guidelines)</t>
  </si>
  <si>
    <t>Score</t>
  </si>
  <si>
    <t>Grade</t>
  </si>
  <si>
    <t>Category</t>
  </si>
  <si>
    <t>Written Report Grading Rubric</t>
  </si>
  <si>
    <t>A</t>
  </si>
  <si>
    <t>Outstanding, Top Notch</t>
  </si>
  <si>
    <t>Score 1</t>
  </si>
  <si>
    <t>Score 2</t>
  </si>
  <si>
    <t>Score 3</t>
  </si>
  <si>
    <t>Excellent</t>
  </si>
  <si>
    <t>Section</t>
  </si>
  <si>
    <t>Range: 0-10</t>
  </si>
  <si>
    <t>Great, Minor Revisions</t>
  </si>
  <si>
    <t>Abstract</t>
  </si>
  <si>
    <t>A-</t>
  </si>
  <si>
    <t>B</t>
  </si>
  <si>
    <t>Objective / Background and Rationale</t>
  </si>
  <si>
    <t>Very Good, Some revisions needed</t>
  </si>
  <si>
    <t>C</t>
  </si>
  <si>
    <t>Methods</t>
  </si>
  <si>
    <t>B+</t>
  </si>
  <si>
    <t>Good. Moderate Revisions needed</t>
  </si>
  <si>
    <t>D</t>
  </si>
  <si>
    <t>Results</t>
  </si>
  <si>
    <t>Fair, Minor Deficiencies</t>
  </si>
  <si>
    <t>E</t>
  </si>
  <si>
    <t>Discussion / Broader Impact</t>
  </si>
  <si>
    <t>B-</t>
  </si>
  <si>
    <t>Poor</t>
  </si>
  <si>
    <t>F</t>
  </si>
  <si>
    <t>Grammar, Spelling, Format, &amp; Referencing</t>
  </si>
  <si>
    <t>Just passing, Moderate Deficiencies</t>
  </si>
  <si>
    <t>G</t>
  </si>
  <si>
    <t>Figures and Figure Legends</t>
  </si>
  <si>
    <t>C+</t>
  </si>
  <si>
    <t>Below passing, Major Deficiencies</t>
  </si>
  <si>
    <t>Average</t>
  </si>
  <si>
    <t>Total Failure</t>
  </si>
  <si>
    <t>Converted Percentage</t>
  </si>
  <si>
    <t>Part 2 - Poster Presentation (guidelines)</t>
  </si>
  <si>
    <t>Poster Grading Rubric</t>
  </si>
  <si>
    <t>Background Hypothesis/Objective</t>
  </si>
  <si>
    <t>Conclusions and Future Work</t>
  </si>
  <si>
    <t>Poster Design and Aesthetics</t>
  </si>
  <si>
    <t>Stage Presence</t>
  </si>
  <si>
    <t>Answering Questions</t>
  </si>
  <si>
    <t>Overall Percentage for Report and Presentation</t>
  </si>
  <si>
    <t>Calculated Overall Percentage</t>
  </si>
  <si>
    <t xml:space="preserve">Final Calculated Grade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</si>
</sst>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b/>
      <sz val="10"/>
      <color theme="0"/>
      <name val="Helvetica"/>
      <family val="2"/>
    </font>
    <font>
      <u/>
      <sz val="12"/>
      <color theme="5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i/>
      <sz val="10"/>
      <color theme="3"/>
      <name val="Aptos Narrow"/>
      <family val="2"/>
      <scheme val="minor"/>
    </font>
    <font>
      <b/>
      <sz val="10"/>
      <color rgb="FF000000"/>
      <name val="Helvetica"/>
      <family val="2"/>
    </font>
    <font>
      <b/>
      <sz val="15"/>
      <color rgb="FF00206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1"/>
      </top>
      <bottom/>
      <diagonal/>
    </border>
    <border>
      <left/>
      <right style="double">
        <color rgb="FF3F3F3F"/>
      </right>
      <top style="thick">
        <color theme="1"/>
      </top>
      <bottom/>
      <diagonal/>
    </border>
    <border>
      <left/>
      <right/>
      <top/>
      <bottom style="double">
        <color rgb="FF7F7F7F"/>
      </bottom>
      <diagonal/>
    </border>
    <border>
      <left/>
      <right/>
      <top style="double">
        <color rgb="FF7F7F7F"/>
      </top>
      <bottom/>
      <diagonal/>
    </border>
    <border>
      <left/>
      <right style="double">
        <color rgb="FF3F3F3F"/>
      </right>
      <top/>
      <bottom/>
      <diagonal/>
    </border>
    <border>
      <left/>
      <right/>
      <top/>
      <bottom style="double">
        <color theme="1"/>
      </bottom>
      <diagonal/>
    </border>
    <border>
      <left/>
      <right style="double">
        <color rgb="FF3F3F3F"/>
      </right>
      <top/>
      <bottom style="double">
        <color theme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3" applyNumberFormat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6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11" fillId="0" borderId="0" xfId="0" applyFont="1"/>
    <xf numFmtId="0" fontId="10" fillId="7" borderId="0" xfId="10" applyFill="1"/>
    <xf numFmtId="0" fontId="13" fillId="7" borderId="2" xfId="11" applyFont="1" applyFill="1" applyBorder="1" applyProtection="1">
      <protection locked="0"/>
    </xf>
    <xf numFmtId="0" fontId="10" fillId="7" borderId="2" xfId="10" applyFill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11" applyFont="1" applyProtection="1">
      <protection locked="0"/>
    </xf>
    <xf numFmtId="0" fontId="8" fillId="0" borderId="0" xfId="8" applyProtection="1"/>
    <xf numFmtId="164" fontId="4" fillId="2" borderId="0" xfId="4" applyNumberFormat="1" applyAlignment="1">
      <alignment horizontal="center"/>
    </xf>
    <xf numFmtId="164" fontId="4" fillId="2" borderId="0" xfId="4" applyNumberFormat="1" applyAlignment="1">
      <alignment horizontal="left"/>
    </xf>
    <xf numFmtId="0" fontId="4" fillId="2" borderId="0" xfId="4" applyAlignment="1">
      <alignment horizontal="left"/>
    </xf>
    <xf numFmtId="0" fontId="16" fillId="0" borderId="0" xfId="8" applyFont="1" applyProtection="1"/>
    <xf numFmtId="0" fontId="2" fillId="0" borderId="0" xfId="2" applyBorder="1"/>
    <xf numFmtId="0" fontId="16" fillId="0" borderId="0" xfId="2" applyFont="1" applyBorder="1"/>
    <xf numFmtId="0" fontId="17" fillId="0" borderId="1" xfId="2" applyFont="1"/>
    <xf numFmtId="0" fontId="0" fillId="0" borderId="5" xfId="0" applyBorder="1" applyAlignment="1">
      <alignment horizontal="center"/>
    </xf>
    <xf numFmtId="0" fontId="0" fillId="0" borderId="6" xfId="0" applyBorder="1"/>
    <xf numFmtId="164" fontId="9" fillId="8" borderId="3" xfId="7" applyNumberFormat="1" applyFont="1" applyFill="1" applyProtection="1">
      <protection locked="0"/>
    </xf>
    <xf numFmtId="0" fontId="18" fillId="2" borderId="0" xfId="4" applyFont="1" applyAlignment="1">
      <alignment horizontal="left"/>
    </xf>
    <xf numFmtId="0" fontId="0" fillId="0" borderId="0" xfId="0" applyAlignment="1">
      <alignment horizontal="center"/>
    </xf>
    <xf numFmtId="164" fontId="6" fillId="4" borderId="0" xfId="6" applyNumberFormat="1" applyAlignment="1">
      <alignment horizontal="center"/>
    </xf>
    <xf numFmtId="164" fontId="6" fillId="4" borderId="0" xfId="6" applyNumberFormat="1" applyAlignment="1">
      <alignment horizontal="left"/>
    </xf>
    <xf numFmtId="0" fontId="6" fillId="4" borderId="0" xfId="6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164" fontId="5" fillId="3" borderId="0" xfId="5" applyNumberFormat="1" applyAlignment="1">
      <alignment horizontal="center"/>
    </xf>
    <xf numFmtId="164" fontId="5" fillId="3" borderId="0" xfId="5" applyNumberFormat="1" applyAlignment="1">
      <alignment horizontal="left"/>
    </xf>
    <xf numFmtId="0" fontId="5" fillId="3" borderId="0" xfId="5" applyAlignment="1">
      <alignment horizontal="left"/>
    </xf>
    <xf numFmtId="0" fontId="9" fillId="0" borderId="0" xfId="9" applyBorder="1"/>
    <xf numFmtId="0" fontId="9" fillId="0" borderId="0" xfId="9" applyBorder="1" applyAlignment="1">
      <alignment horizontal="right"/>
    </xf>
    <xf numFmtId="164" fontId="1" fillId="0" borderId="8" xfId="9" applyNumberFormat="1" applyFont="1" applyBorder="1"/>
    <xf numFmtId="164" fontId="0" fillId="0" borderId="8" xfId="0" applyNumberFormat="1" applyBorder="1"/>
    <xf numFmtId="165" fontId="1" fillId="0" borderId="0" xfId="1" applyNumberFormat="1" applyFont="1" applyBorder="1"/>
    <xf numFmtId="0" fontId="0" fillId="0" borderId="0" xfId="0" applyAlignment="1">
      <alignment horizontal="left"/>
    </xf>
    <xf numFmtId="0" fontId="13" fillId="7" borderId="0" xfId="11" applyFont="1" applyFill="1" applyProtection="1">
      <protection locked="0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10" applyFill="1"/>
    <xf numFmtId="0" fontId="19" fillId="0" borderId="0" xfId="8" applyFont="1" applyProtection="1"/>
    <xf numFmtId="0" fontId="18" fillId="0" borderId="0" xfId="0" applyFont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/>
    <xf numFmtId="0" fontId="12" fillId="0" borderId="0" xfId="11" applyProtection="1"/>
    <xf numFmtId="0" fontId="0" fillId="0" borderId="10" xfId="0" applyBorder="1" applyAlignment="1">
      <alignment horizontal="center" vertical="center"/>
    </xf>
    <xf numFmtId="0" fontId="0" fillId="0" borderId="11" xfId="0" applyBorder="1"/>
    <xf numFmtId="164" fontId="0" fillId="0" borderId="0" xfId="0" applyNumberFormat="1"/>
    <xf numFmtId="0" fontId="9" fillId="0" borderId="0" xfId="0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3" fillId="0" borderId="0" xfId="3" applyBorder="1"/>
    <xf numFmtId="0" fontId="20" fillId="0" borderId="0" xfId="3" applyFont="1" applyBorder="1" applyAlignment="1">
      <alignment horizontal="right"/>
    </xf>
    <xf numFmtId="9" fontId="0" fillId="0" borderId="0" xfId="1" applyFont="1" applyAlignment="1">
      <alignment horizontal="center"/>
    </xf>
  </cellXfs>
  <cellStyles count="12">
    <cellStyle name="Accent1" xfId="10" builtinId="29"/>
    <cellStyle name="Bad" xfId="5" builtinId="27"/>
    <cellStyle name="Check Cell" xfId="7" builtinId="23"/>
    <cellStyle name="Explanatory Text" xfId="8" builtinId="53"/>
    <cellStyle name="Good" xfId="4" builtinId="26"/>
    <cellStyle name="Heading 1" xfId="2" builtinId="16"/>
    <cellStyle name="Heading 2" xfId="3" builtinId="17"/>
    <cellStyle name="Hyperlink" xfId="11" builtinId="8"/>
    <cellStyle name="Neutral" xfId="6" builtinId="28"/>
    <cellStyle name="Normal" xfId="0" builtinId="0"/>
    <cellStyle name="Percent" xfId="1" builtinId="5"/>
    <cellStyle name="Total" xfId="9" builtinId="2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0" indent="0" justifyLastLine="0" shrinkToFit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rnesto/github/MHACapstone/docs/assets/Capstone-Project-Final-Evaluation-2026.xlsx" TargetMode="External"/><Relationship Id="rId1" Type="http://schemas.openxmlformats.org/officeDocument/2006/relationships/externalLinkPath" Target="Capstone-Project-Final-Evaluation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GRADE"/>
      <sheetName val="Report and Presentation"/>
      <sheetName val="Chair Evaluation"/>
      <sheetName val="Mentor Evaluation"/>
    </sheetNames>
    <sheetDataSet>
      <sheetData sheetId="0">
        <row r="7">
          <cell r="A7" t="str">
            <v>Committee Members</v>
          </cell>
          <cell r="B7" t="str">
            <v>Name</v>
          </cell>
        </row>
        <row r="8">
          <cell r="A8" t="str">
            <v>Mentor</v>
          </cell>
        </row>
        <row r="9">
          <cell r="A9" t="str">
            <v>Member 1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47F16-27AF-1943-8B8C-16AACAF1DC6B}" name="Table2" displayName="Table2" ref="G2:I13" totalsRowShown="0" dataDxfId="3" headerRowCellStyle="Accent1">
  <autoFilter ref="G2:I13" xr:uid="{35047F16-27AF-1943-8B8C-16AACAF1DC6B}"/>
  <sortState xmlns:xlrd2="http://schemas.microsoft.com/office/spreadsheetml/2017/richdata2" ref="G3:I13">
    <sortCondition descending="1" ref="G3:G14"/>
  </sortState>
  <tableColumns count="3">
    <tableColumn id="1" xr3:uid="{58CE1852-B7B7-1045-AAB7-118EC87C1554}" name="Score" dataDxfId="2"/>
    <tableColumn id="2" xr3:uid="{2F4600EA-3A51-FA4A-A410-FF5BAAA2BC26}" name="Grade" dataDxfId="1" dataCellStyle="Good"/>
    <tableColumn id="3" xr3:uid="{831AC891-C8E3-4543-9E38-FAC79A82E2AE}" name="Categor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odernhumananatomy.github.io/MHACapstone/capstone-report-rubric/" TargetMode="External"/><Relationship Id="rId2" Type="http://schemas.openxmlformats.org/officeDocument/2006/relationships/hyperlink" Target="../../../../ernesto_salcedo_ucdenver_edu/_layouts/15/guestaccess.aspx?guestaccesstoken=Li0WFphkVfJseyjD5BmnBxn0Ss4tXOH6i7wDzu7XGFg%3d&amp;docid=2_1cfa5aa08f28d455bb671b67bf6bec0b5&amp;rev=1" TargetMode="External"/><Relationship Id="rId1" Type="http://schemas.openxmlformats.org/officeDocument/2006/relationships/hyperlink" Target="https://modernhumananatomy.github.io/MHACapstone/poster-requirements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modernhumananatomy.github.io/MHACapstone/capstone-presentation-rubr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E611-E386-AA46-9775-2555E1C0416C}">
  <dimension ref="A1"/>
  <sheetViews>
    <sheetView workbookViewId="0"/>
  </sheetViews>
  <sheetFormatPr baseColWidth="10" defaultRowHeight="16" x14ac:dyDescent="0.2"/>
  <sheetData>
    <row r="1" spans="1:1" x14ac:dyDescent="0.2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F1E5-97EE-684F-974E-CB9D9D1AF310}">
  <dimension ref="A2:I32"/>
  <sheetViews>
    <sheetView tabSelected="1" workbookViewId="0">
      <selection sqref="A1:XFD1"/>
    </sheetView>
  </sheetViews>
  <sheetFormatPr baseColWidth="10" defaultRowHeight="16" x14ac:dyDescent="0.2"/>
  <cols>
    <col min="2" max="2" width="39.6640625" bestFit="1" customWidth="1"/>
    <col min="9" max="9" width="30.33203125" bestFit="1" customWidth="1"/>
  </cols>
  <sheetData>
    <row r="2" spans="1:9" ht="17" thickBot="1" x14ac:dyDescent="0.25">
      <c r="A2" s="2"/>
      <c r="B2" s="3" t="s">
        <v>0</v>
      </c>
      <c r="C2" s="4" t="str">
        <f>'[1]OVERALL GRADE'!A7</f>
        <v>Committee Members</v>
      </c>
      <c r="D2" s="4" t="str">
        <f>'[1]OVERALL GRADE'!A8</f>
        <v>Mentor</v>
      </c>
      <c r="E2" s="4" t="str">
        <f>'[1]OVERALL GRADE'!A9</f>
        <v>Member 1</v>
      </c>
      <c r="G2" s="5" t="s">
        <v>1</v>
      </c>
      <c r="H2" s="6" t="s">
        <v>2</v>
      </c>
      <c r="I2" s="5" t="s">
        <v>3</v>
      </c>
    </row>
    <row r="3" spans="1:9" ht="17" thickTop="1" x14ac:dyDescent="0.2">
      <c r="B3" s="7" t="s">
        <v>4</v>
      </c>
      <c r="C3" s="8" t="str">
        <f>'[1]OVERALL GRADE'!B7</f>
        <v>Name</v>
      </c>
      <c r="D3" s="8">
        <f>'[1]OVERALL GRADE'!B8</f>
        <v>0</v>
      </c>
      <c r="E3" s="8">
        <f>'[1]OVERALL GRADE'!B9</f>
        <v>0</v>
      </c>
      <c r="G3" s="9">
        <v>10</v>
      </c>
      <c r="H3" s="10" t="s">
        <v>5</v>
      </c>
      <c r="I3" s="11" t="s">
        <v>6</v>
      </c>
    </row>
    <row r="4" spans="1:9" ht="20" x14ac:dyDescent="0.25">
      <c r="C4" s="12" t="s">
        <v>7</v>
      </c>
      <c r="D4" s="12" t="s">
        <v>8</v>
      </c>
      <c r="E4" s="12" t="s">
        <v>9</v>
      </c>
      <c r="G4" s="9">
        <v>9.5</v>
      </c>
      <c r="H4" s="10" t="s">
        <v>5</v>
      </c>
      <c r="I4" s="11" t="s">
        <v>10</v>
      </c>
    </row>
    <row r="5" spans="1:9" ht="21" thickBot="1" x14ac:dyDescent="0.3">
      <c r="A5" s="13"/>
      <c r="B5" s="14" t="s">
        <v>11</v>
      </c>
      <c r="C5" s="15" t="s">
        <v>12</v>
      </c>
      <c r="D5" s="15" t="s">
        <v>12</v>
      </c>
      <c r="E5" s="15" t="s">
        <v>12</v>
      </c>
      <c r="G5" s="9">
        <v>9.3000000000000007</v>
      </c>
      <c r="H5" s="10" t="s">
        <v>5</v>
      </c>
      <c r="I5" s="11" t="s">
        <v>13</v>
      </c>
    </row>
    <row r="6" spans="1:9" ht="18" thickTop="1" thickBot="1" x14ac:dyDescent="0.25">
      <c r="A6" s="16" t="s">
        <v>5</v>
      </c>
      <c r="B6" s="17" t="s">
        <v>14</v>
      </c>
      <c r="C6" s="18"/>
      <c r="D6" s="18"/>
      <c r="E6" s="18"/>
      <c r="G6" s="9">
        <v>9.1999999999999993</v>
      </c>
      <c r="H6" s="10" t="s">
        <v>15</v>
      </c>
      <c r="I6" s="19"/>
    </row>
    <row r="7" spans="1:9" ht="18" thickTop="1" thickBot="1" x14ac:dyDescent="0.25">
      <c r="A7" s="20" t="s">
        <v>16</v>
      </c>
      <c r="B7" t="s">
        <v>17</v>
      </c>
      <c r="C7" s="18"/>
      <c r="D7" s="18"/>
      <c r="E7" s="18"/>
      <c r="G7" s="9">
        <v>9</v>
      </c>
      <c r="H7" s="10" t="s">
        <v>15</v>
      </c>
      <c r="I7" s="11" t="s">
        <v>18</v>
      </c>
    </row>
    <row r="8" spans="1:9" ht="18" thickTop="1" thickBot="1" x14ac:dyDescent="0.25">
      <c r="A8" s="20" t="s">
        <v>19</v>
      </c>
      <c r="B8" t="s">
        <v>20</v>
      </c>
      <c r="C8" s="18"/>
      <c r="D8" s="18"/>
      <c r="E8" s="18"/>
      <c r="G8" s="21">
        <v>8.6999999999999993</v>
      </c>
      <c r="H8" s="22" t="s">
        <v>21</v>
      </c>
      <c r="I8" s="23" t="s">
        <v>22</v>
      </c>
    </row>
    <row r="9" spans="1:9" ht="18" thickTop="1" thickBot="1" x14ac:dyDescent="0.25">
      <c r="A9" s="20" t="s">
        <v>23</v>
      </c>
      <c r="B9" t="s">
        <v>24</v>
      </c>
      <c r="C9" s="18"/>
      <c r="D9" s="18"/>
      <c r="E9" s="18"/>
      <c r="G9" s="21">
        <v>8.5</v>
      </c>
      <c r="H9" s="22" t="s">
        <v>16</v>
      </c>
      <c r="I9" s="23" t="s">
        <v>25</v>
      </c>
    </row>
    <row r="10" spans="1:9" ht="18" thickTop="1" thickBot="1" x14ac:dyDescent="0.25">
      <c r="A10" s="20" t="s">
        <v>26</v>
      </c>
      <c r="B10" t="s">
        <v>27</v>
      </c>
      <c r="C10" s="18"/>
      <c r="D10" s="18"/>
      <c r="E10" s="18"/>
      <c r="G10" s="21">
        <v>8.1999999999999993</v>
      </c>
      <c r="H10" s="22" t="s">
        <v>28</v>
      </c>
      <c r="I10" s="23" t="s">
        <v>29</v>
      </c>
    </row>
    <row r="11" spans="1:9" ht="18" thickTop="1" thickBot="1" x14ac:dyDescent="0.25">
      <c r="A11" s="20" t="s">
        <v>30</v>
      </c>
      <c r="B11" t="s">
        <v>31</v>
      </c>
      <c r="C11" s="18"/>
      <c r="D11" s="18"/>
      <c r="E11" s="18"/>
      <c r="G11" s="21">
        <v>8</v>
      </c>
      <c r="H11" s="22" t="s">
        <v>28</v>
      </c>
      <c r="I11" s="23" t="s">
        <v>32</v>
      </c>
    </row>
    <row r="12" spans="1:9" ht="18" thickTop="1" thickBot="1" x14ac:dyDescent="0.25">
      <c r="A12" s="24" t="s">
        <v>33</v>
      </c>
      <c r="B12" s="25" t="s">
        <v>34</v>
      </c>
      <c r="C12" s="18"/>
      <c r="D12" s="18"/>
      <c r="E12" s="18"/>
      <c r="G12" s="26">
        <v>7.9</v>
      </c>
      <c r="H12" s="27" t="s">
        <v>35</v>
      </c>
      <c r="I12" s="28" t="s">
        <v>36</v>
      </c>
    </row>
    <row r="13" spans="1:9" ht="17" thickTop="1" x14ac:dyDescent="0.2">
      <c r="A13" s="29"/>
      <c r="B13" s="30" t="s">
        <v>37</v>
      </c>
      <c r="C13" s="31" t="e">
        <f>AVERAGE(C6:C12)</f>
        <v>#DIV/0!</v>
      </c>
      <c r="D13" s="32" t="e">
        <f>AVERAGE(D6:D12)</f>
        <v>#DIV/0!</v>
      </c>
      <c r="E13" s="32" t="e">
        <f>AVERAGE(E6:E12)</f>
        <v>#DIV/0!</v>
      </c>
      <c r="G13" s="26">
        <v>0</v>
      </c>
      <c r="H13" s="27" t="s">
        <v>30</v>
      </c>
      <c r="I13" s="28" t="s">
        <v>38</v>
      </c>
    </row>
    <row r="14" spans="1:9" x14ac:dyDescent="0.2">
      <c r="A14" s="29"/>
      <c r="B14" s="30" t="s">
        <v>39</v>
      </c>
      <c r="C14" s="33" t="e">
        <f>C13/10</f>
        <v>#DIV/0!</v>
      </c>
      <c r="D14" s="33" t="e">
        <f t="shared" ref="D14:E14" si="0">D13/10</f>
        <v>#DIV/0!</v>
      </c>
      <c r="E14" s="33" t="e">
        <f t="shared" si="0"/>
        <v>#DIV/0!</v>
      </c>
      <c r="H14" s="34"/>
    </row>
    <row r="15" spans="1:9" x14ac:dyDescent="0.2">
      <c r="H15" s="34"/>
    </row>
    <row r="16" spans="1:9" x14ac:dyDescent="0.2">
      <c r="A16" s="2"/>
      <c r="B16" s="35" t="s">
        <v>40</v>
      </c>
      <c r="C16" s="2"/>
      <c r="D16" s="2"/>
      <c r="E16" s="2"/>
      <c r="G16" s="36"/>
      <c r="H16" s="37"/>
      <c r="I16" s="36"/>
    </row>
    <row r="17" spans="1:9" ht="20" x14ac:dyDescent="0.25">
      <c r="A17" s="38"/>
      <c r="B17" s="7" t="s">
        <v>41</v>
      </c>
      <c r="C17" s="39" t="s">
        <v>7</v>
      </c>
      <c r="D17" s="39" t="s">
        <v>8</v>
      </c>
      <c r="E17" s="39" t="s">
        <v>9</v>
      </c>
      <c r="H17" s="34"/>
      <c r="I17" s="40"/>
    </row>
    <row r="18" spans="1:9" ht="21" thickBot="1" x14ac:dyDescent="0.3">
      <c r="A18" s="13"/>
      <c r="B18" s="14" t="s">
        <v>11</v>
      </c>
      <c r="C18" s="15" t="s">
        <v>12</v>
      </c>
      <c r="D18" s="15" t="s">
        <v>12</v>
      </c>
      <c r="E18" s="15" t="s">
        <v>12</v>
      </c>
      <c r="H18" s="34"/>
    </row>
    <row r="19" spans="1:9" ht="18" thickTop="1" thickBot="1" x14ac:dyDescent="0.25">
      <c r="A19" s="41" t="s">
        <v>5</v>
      </c>
      <c r="B19" s="17" t="s">
        <v>42</v>
      </c>
      <c r="C19" s="18"/>
      <c r="D19" s="18"/>
      <c r="E19" s="18"/>
      <c r="H19" s="34"/>
    </row>
    <row r="20" spans="1:9" ht="18" thickTop="1" thickBot="1" x14ac:dyDescent="0.25">
      <c r="A20" s="42" t="s">
        <v>16</v>
      </c>
      <c r="B20" s="43" t="s">
        <v>20</v>
      </c>
      <c r="C20" s="18"/>
      <c r="D20" s="18"/>
      <c r="E20" s="18"/>
      <c r="H20" s="34"/>
    </row>
    <row r="21" spans="1:9" ht="18" thickTop="1" thickBot="1" x14ac:dyDescent="0.25">
      <c r="A21" s="42" t="s">
        <v>19</v>
      </c>
      <c r="B21" s="43" t="s">
        <v>24</v>
      </c>
      <c r="C21" s="18"/>
      <c r="D21" s="18"/>
      <c r="E21" s="18"/>
      <c r="H21" s="34"/>
    </row>
    <row r="22" spans="1:9" ht="18" thickTop="1" thickBot="1" x14ac:dyDescent="0.25">
      <c r="A22" s="42" t="s">
        <v>23</v>
      </c>
      <c r="B22" s="43" t="s">
        <v>43</v>
      </c>
      <c r="C22" s="18"/>
      <c r="D22" s="18"/>
      <c r="E22" s="18"/>
      <c r="H22" s="34"/>
    </row>
    <row r="23" spans="1:9" ht="18" thickTop="1" thickBot="1" x14ac:dyDescent="0.25">
      <c r="A23" s="42" t="s">
        <v>26</v>
      </c>
      <c r="B23" s="43" t="s">
        <v>44</v>
      </c>
      <c r="C23" s="18"/>
      <c r="D23" s="18"/>
      <c r="E23" s="18"/>
      <c r="G23" s="36"/>
      <c r="H23" s="37"/>
      <c r="I23" s="36"/>
    </row>
    <row r="24" spans="1:9" ht="18" thickTop="1" thickBot="1" x14ac:dyDescent="0.25">
      <c r="A24" s="42" t="s">
        <v>30</v>
      </c>
      <c r="B24" s="43" t="s">
        <v>45</v>
      </c>
      <c r="C24" s="18"/>
      <c r="D24" s="18"/>
      <c r="E24" s="18"/>
      <c r="G24" s="36"/>
      <c r="H24" s="37"/>
      <c r="I24" s="44"/>
    </row>
    <row r="25" spans="1:9" ht="18" thickTop="1" thickBot="1" x14ac:dyDescent="0.25">
      <c r="A25" s="45" t="s">
        <v>33</v>
      </c>
      <c r="B25" s="46" t="s">
        <v>46</v>
      </c>
      <c r="C25" s="18"/>
      <c r="D25" s="18"/>
      <c r="E25" s="18"/>
      <c r="H25" s="34"/>
    </row>
    <row r="26" spans="1:9" ht="17" thickTop="1" x14ac:dyDescent="0.2">
      <c r="A26" s="29"/>
      <c r="B26" s="30" t="s">
        <v>37</v>
      </c>
      <c r="C26" s="47" t="e">
        <f t="shared" ref="C26:E26" si="1">AVERAGE(C19:C25)</f>
        <v>#DIV/0!</v>
      </c>
      <c r="D26" s="47" t="e">
        <f t="shared" si="1"/>
        <v>#DIV/0!</v>
      </c>
      <c r="E26" s="47" t="e">
        <f t="shared" si="1"/>
        <v>#DIV/0!</v>
      </c>
      <c r="H26" s="34"/>
    </row>
    <row r="27" spans="1:9" x14ac:dyDescent="0.2">
      <c r="B27" s="30" t="s">
        <v>39</v>
      </c>
      <c r="C27" s="33" t="e">
        <f>C26/10</f>
        <v>#DIV/0!</v>
      </c>
      <c r="D27" s="33" t="e">
        <f t="shared" ref="D27:E27" si="2">D26/10</f>
        <v>#DIV/0!</v>
      </c>
      <c r="E27" s="33" t="e">
        <f t="shared" si="2"/>
        <v>#DIV/0!</v>
      </c>
      <c r="H27" s="34"/>
    </row>
    <row r="28" spans="1:9" x14ac:dyDescent="0.2">
      <c r="H28" s="34"/>
    </row>
    <row r="29" spans="1:9" x14ac:dyDescent="0.2">
      <c r="A29" s="2"/>
      <c r="B29" s="2" t="s">
        <v>47</v>
      </c>
      <c r="C29" s="2"/>
      <c r="D29" s="2"/>
      <c r="E29" s="2"/>
      <c r="H29" s="34"/>
    </row>
    <row r="30" spans="1:9" x14ac:dyDescent="0.2">
      <c r="B30" s="48" t="s">
        <v>48</v>
      </c>
      <c r="C30" s="49" t="e">
        <f>(C13*0.5 +C26* 0.5)/10</f>
        <v>#DIV/0!</v>
      </c>
      <c r="D30" s="49" t="e">
        <f t="shared" ref="D30:E30" si="3">(D13*0.7 +D26* 0.3)/10</f>
        <v>#DIV/0!</v>
      </c>
      <c r="E30" s="49" t="e">
        <f t="shared" si="3"/>
        <v>#DIV/0!</v>
      </c>
      <c r="H30" s="34"/>
    </row>
    <row r="31" spans="1:9" ht="18" x14ac:dyDescent="0.25">
      <c r="A31" s="50"/>
      <c r="B31" s="51" t="s">
        <v>49</v>
      </c>
      <c r="C31" s="52" t="e">
        <f>AVERAGE(C30:E30)</f>
        <v>#DIV/0!</v>
      </c>
      <c r="D31" s="20"/>
      <c r="E31" s="20"/>
      <c r="H31" s="34"/>
    </row>
    <row r="32" spans="1:9" x14ac:dyDescent="0.2">
      <c r="H32" s="34"/>
    </row>
  </sheetData>
  <conditionalFormatting sqref="C26:E26">
    <cfRule type="colorScale" priority="3">
      <colorScale>
        <cfvo type="num" val="7.9"/>
        <cfvo type="num" val="8.5"/>
        <cfvo type="num" val="10"/>
        <color rgb="FFF8696B"/>
        <color rgb="FFFFEB84"/>
        <color rgb="FF63BE7B"/>
      </colorScale>
    </cfRule>
  </conditionalFormatting>
  <conditionalFormatting sqref="C30:E30 C31">
    <cfRule type="colorScale" priority="2">
      <colorScale>
        <cfvo type="num" val="0.75"/>
        <cfvo type="num" val="0.85"/>
        <cfvo type="num" val="1"/>
        <color rgb="FFF8696B"/>
        <color rgb="FFFFEB84"/>
        <color rgb="FF63BE7B"/>
      </colorScale>
    </cfRule>
  </conditionalFormatting>
  <conditionalFormatting sqref="C13:F13">
    <cfRule type="colorScale" priority="1">
      <colorScale>
        <cfvo type="num" val="7.9"/>
        <cfvo type="num" val="8.5"/>
        <cfvo type="num" val="10"/>
        <color rgb="FFF8696B"/>
        <color rgb="FFFFEB84"/>
        <color rgb="FF63BE7B"/>
      </colorScale>
    </cfRule>
  </conditionalFormatting>
  <conditionalFormatting sqref="C14:F14 C27:E27">
    <cfRule type="colorScale" priority="4">
      <colorScale>
        <cfvo type="num" val="0.79"/>
        <cfvo type="num" val="0.85"/>
        <cfvo type="num" val="1"/>
        <color rgb="FFF8696B"/>
        <color rgb="FFFFEB84"/>
        <color rgb="FF63BE7B"/>
      </colorScale>
    </cfRule>
  </conditionalFormatting>
  <dataValidations count="2">
    <dataValidation type="decimal" allowBlank="1" showErrorMessage="1" errorTitle="Range error" error="Value not between 1 and 5" promptTitle="Score Range" prompt="Enter value between 1 and 5" sqref="C19:E25" xr:uid="{4E1EB8CD-6119-7647-B90B-BF9F3C5EA2A5}">
      <formula1>0</formula1>
      <formula2>10</formula2>
    </dataValidation>
    <dataValidation type="decimal" errorStyle="information" allowBlank="1" showErrorMessage="1" errorTitle="Out of range" error="Enter value between 1 and 5" promptTitle="Score Range" prompt="Between 1 and 5" sqref="C6:E12" xr:uid="{04F8FAE3-8039-2346-B9C2-AA1C40C001D3}">
      <formula1>0</formula1>
      <formula2>10</formula2>
    </dataValidation>
  </dataValidations>
  <hyperlinks>
    <hyperlink ref="B16" r:id="rId1" display="Part 2 - Poster Presentation (guidelines) - 30%" xr:uid="{E3B2B4E4-0D2B-9F49-BA89-E7F07BF7C202}"/>
    <hyperlink ref="B2" r:id="rId2" display="Part 1 - Written Report (guidelines) - 70%" xr:uid="{7E07B60E-9263-D346-BEFE-E5EB27B7D374}"/>
    <hyperlink ref="B3" r:id="rId3" xr:uid="{3020FA77-2660-1C46-9B16-31C96FD56223}"/>
    <hyperlink ref="B17" r:id="rId4" xr:uid="{0386F1BA-41F1-314F-8465-D975CD73D3D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Salcedo</dc:creator>
  <cp:lastModifiedBy>Ernesto Salcedo</cp:lastModifiedBy>
  <dcterms:created xsi:type="dcterms:W3CDTF">2025-06-11T00:09:01Z</dcterms:created>
  <dcterms:modified xsi:type="dcterms:W3CDTF">2025-06-11T00:12:39Z</dcterms:modified>
</cp:coreProperties>
</file>